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Documents\GitHub\HP71MultiMod2\board\mm2\"/>
    </mc:Choice>
  </mc:AlternateContent>
  <xr:revisionPtr revIDLastSave="0" documentId="13_ncr:1_{D2A3CD55-7A2E-43B2-8833-798B65AE1E1D}" xr6:coauthVersionLast="47" xr6:coauthVersionMax="47" xr10:uidLastSave="{00000000-0000-0000-0000-000000000000}"/>
  <bookViews>
    <workbookView xWindow="4845" yWindow="90" windowWidth="22245" windowHeight="15510" xr2:uid="{948805CF-8B5B-44B2-A640-DC43613C0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</calcChain>
</file>

<file path=xl/sharedStrings.xml><?xml version="1.0" encoding="utf-8"?>
<sst xmlns="http://schemas.openxmlformats.org/spreadsheetml/2006/main" count="169" uniqueCount="120">
  <si>
    <t>Best Practice Bill of Materials (BOM) Template</t>
  </si>
  <si>
    <t>1. Reference Designators - Place all designators with the same part number in one cell</t>
  </si>
  <si>
    <t>2. Description Value Package - Advanced Assembly's system perfers this to be combined into one cell</t>
  </si>
  <si>
    <t>3. Alternate Part Numbers - Place in additional columns to the right on the same line</t>
  </si>
  <si>
    <t>4. Do Not Install (DNI) Parts - Indicate quantity zero and/or add DNI column</t>
  </si>
  <si>
    <t>5. Notes - Place in additional column on the same line</t>
  </si>
  <si>
    <t>6. Refrain from using merged cells</t>
  </si>
  <si>
    <t>7. Mfg - If you require a specific manufacturer, specify here</t>
  </si>
  <si>
    <t>*Please contact your account executive with any questions.*</t>
  </si>
  <si>
    <r>
      <rPr>
        <sz val="10"/>
        <color rgb="FF0070C0"/>
        <rFont val="Wingdings"/>
        <charset val="2"/>
      </rPr>
      <t>ê</t>
    </r>
    <r>
      <rPr>
        <i/>
        <sz val="10"/>
        <color rgb="FF0070C0"/>
        <rFont val="Calibri"/>
        <family val="2"/>
        <scheme val="minor"/>
      </rPr>
      <t>Auto-populates as you fill in the previous cells</t>
    </r>
    <r>
      <rPr>
        <sz val="10"/>
        <color rgb="FF0070C0"/>
        <rFont val="Wingdings"/>
        <charset val="2"/>
      </rPr>
      <t>ê</t>
    </r>
  </si>
  <si>
    <t>Mfg Part #</t>
  </si>
  <si>
    <t>Description</t>
  </si>
  <si>
    <t>Value</t>
  </si>
  <si>
    <t>Pkg</t>
  </si>
  <si>
    <r>
      <t xml:space="preserve">Description Value Pkg </t>
    </r>
    <r>
      <rPr>
        <b/>
        <sz val="10"/>
        <color theme="9" tint="-0.249977111117893"/>
        <rFont val="Calibri"/>
        <family val="2"/>
        <scheme val="minor"/>
      </rPr>
      <t>*AAPCB Format*</t>
    </r>
  </si>
  <si>
    <t>Ref. Des.</t>
  </si>
  <si>
    <t>Qty</t>
  </si>
  <si>
    <t>DNI</t>
  </si>
  <si>
    <t>Notes</t>
  </si>
  <si>
    <r>
      <t xml:space="preserve">Mfg </t>
    </r>
    <r>
      <rPr>
        <b/>
        <sz val="10"/>
        <color rgb="FF007E39"/>
        <rFont val="Calibri"/>
        <family val="2"/>
        <scheme val="minor"/>
      </rPr>
      <t>(Optional)</t>
    </r>
  </si>
  <si>
    <r>
      <t xml:space="preserve">Vendor </t>
    </r>
    <r>
      <rPr>
        <b/>
        <sz val="10"/>
        <color rgb="FF007E39"/>
        <rFont val="Calibri"/>
        <family val="2"/>
        <scheme val="minor"/>
      </rPr>
      <t>(Optional)</t>
    </r>
  </si>
  <si>
    <r>
      <t xml:space="preserve">Vendor Part # </t>
    </r>
    <r>
      <rPr>
        <b/>
        <sz val="10"/>
        <color rgb="FF007E39"/>
        <rFont val="Calibri"/>
        <family val="2"/>
        <scheme val="minor"/>
      </rPr>
      <t>(Optional)</t>
    </r>
  </si>
  <si>
    <r>
      <t xml:space="preserve">Alternate Mfg Part # </t>
    </r>
    <r>
      <rPr>
        <b/>
        <sz val="10"/>
        <color rgb="FF007E39"/>
        <rFont val="Calibri"/>
        <family val="2"/>
        <scheme val="minor"/>
      </rPr>
      <t>(Optional)</t>
    </r>
  </si>
  <si>
    <r>
      <t xml:space="preserve">Type </t>
    </r>
    <r>
      <rPr>
        <b/>
        <sz val="10"/>
        <color rgb="FF007E39"/>
        <rFont val="Calibri"/>
        <family val="2"/>
        <scheme val="minor"/>
      </rPr>
      <t>(Optional)</t>
    </r>
  </si>
  <si>
    <t>CAP CER</t>
  </si>
  <si>
    <t>100 nF 10V X5R 20%</t>
  </si>
  <si>
    <t>0603 SMD</t>
  </si>
  <si>
    <t>C1, C2, C3, C4, C5</t>
  </si>
  <si>
    <t>TDK</t>
  </si>
  <si>
    <t>Mouser</t>
  </si>
  <si>
    <t>885012106010'</t>
  </si>
  <si>
    <t>1 uF 10V X5R 20%</t>
  </si>
  <si>
    <t>C6, C7, C8, C9, C10, C11, C12</t>
  </si>
  <si>
    <t>WURTH</t>
  </si>
  <si>
    <t>CGB3B1X5R1A475M055AC</t>
  </si>
  <si>
    <t>4.7 uF 10V X5R 20%</t>
  </si>
  <si>
    <t>C13</t>
  </si>
  <si>
    <t>EOL</t>
  </si>
  <si>
    <t>CDBU00340</t>
  </si>
  <si>
    <t>SCHOTTKY DIODE</t>
  </si>
  <si>
    <t>30mA 40V</t>
  </si>
  <si>
    <t>D1, D2</t>
  </si>
  <si>
    <t>COMCHIP</t>
  </si>
  <si>
    <t>DX07S016JA1R1500</t>
  </si>
  <si>
    <t>USB CONNECTOR</t>
  </si>
  <si>
    <t>J2</t>
  </si>
  <si>
    <t>JAE</t>
  </si>
  <si>
    <t>20021111-00010T4LF</t>
  </si>
  <si>
    <t>PIN HEADER</t>
  </si>
  <si>
    <t>2x5 1.27 MM PITCH</t>
  </si>
  <si>
    <t>J3</t>
  </si>
  <si>
    <t>Digi-Key</t>
  </si>
  <si>
    <t>ERJ-3RSFR10V</t>
  </si>
  <si>
    <t>RES</t>
  </si>
  <si>
    <t>0.1 OHM CURR SENSE</t>
  </si>
  <si>
    <t>R1</t>
  </si>
  <si>
    <t>22 OHM 1%</t>
  </si>
  <si>
    <t>R2, R3</t>
  </si>
  <si>
    <t>CPF0603F100RC1</t>
  </si>
  <si>
    <t>100 OHM 1%</t>
  </si>
  <si>
    <t>R4</t>
  </si>
  <si>
    <t>CPF0603F5K11C1</t>
  </si>
  <si>
    <t>R5, R6</t>
  </si>
  <si>
    <t>5-1879337-9</t>
  </si>
  <si>
    <t>10K OHM 1%</t>
  </si>
  <si>
    <t>R7, R8, R9</t>
  </si>
  <si>
    <t>CPF0603F49K9C1</t>
  </si>
  <si>
    <t>49.9K OHM 1%</t>
  </si>
  <si>
    <t>R10</t>
  </si>
  <si>
    <t>CPF0603F100KC1</t>
  </si>
  <si>
    <t>100K OHM 1%</t>
  </si>
  <si>
    <t>R11, R12, R13, R15</t>
  </si>
  <si>
    <t>SKSVCBE010</t>
  </si>
  <si>
    <t>SWITCH</t>
  </si>
  <si>
    <t>TACTILE</t>
  </si>
  <si>
    <t>SMD</t>
  </si>
  <si>
    <t>S1</t>
  </si>
  <si>
    <t>ALPS</t>
  </si>
  <si>
    <t>ICE40UP5K-SG48I</t>
  </si>
  <si>
    <t>LATTICE FPGA</t>
  </si>
  <si>
    <t>ICE40 ULTRA PLUS</t>
  </si>
  <si>
    <t>QFN-48</t>
  </si>
  <si>
    <t>U1</t>
  </si>
  <si>
    <t>LATTICE</t>
  </si>
  <si>
    <t>SPI FLASH</t>
  </si>
  <si>
    <t>16 MB</t>
  </si>
  <si>
    <t>SOIC-8</t>
  </si>
  <si>
    <t>U2</t>
  </si>
  <si>
    <t>WINBOND</t>
  </si>
  <si>
    <t>CD40109BPWR</t>
  </si>
  <si>
    <t>LEVEL SHIFTER</t>
  </si>
  <si>
    <t>QUAD L-H</t>
  </si>
  <si>
    <t>TSSOP-16</t>
  </si>
  <si>
    <t>U3, U4, U5</t>
  </si>
  <si>
    <t>TI</t>
  </si>
  <si>
    <t>AP2127K-1.2TRG1</t>
  </si>
  <si>
    <t>LDO REGULATOR</t>
  </si>
  <si>
    <t>1.2V 300mA</t>
  </si>
  <si>
    <t>SOT-23-5 SMD</t>
  </si>
  <si>
    <t>U7</t>
  </si>
  <si>
    <t>DIODES INC</t>
  </si>
  <si>
    <t>AP2127K-3.3TRG1</t>
  </si>
  <si>
    <t>3.3V 300mA</t>
  </si>
  <si>
    <t>U8</t>
  </si>
  <si>
    <t>AP2127K-2.5TRG1</t>
  </si>
  <si>
    <t>2.5V 300mA</t>
  </si>
  <si>
    <t>U9</t>
  </si>
  <si>
    <t>ECS-2520MV-480-DN-TR</t>
  </si>
  <si>
    <t>CLOCK OSC</t>
  </si>
  <si>
    <t xml:space="preserve">48 MHZ </t>
  </si>
  <si>
    <t>X1</t>
  </si>
  <si>
    <t>ECS</t>
  </si>
  <si>
    <t>TE</t>
  </si>
  <si>
    <t>W25Q128JVSIQ</t>
  </si>
  <si>
    <t>5.11K OHM 1%</t>
  </si>
  <si>
    <t>RT0603FRE0722RL</t>
  </si>
  <si>
    <t>C1608X5R1A104M080AC</t>
  </si>
  <si>
    <t>AMPHENOL</t>
  </si>
  <si>
    <t>PANASONIC</t>
  </si>
  <si>
    <t>YAGEO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</si>
</sst>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70C0"/>
      <name val="Calibri"/>
      <family val="2"/>
      <scheme val="minor"/>
    </font>
    <font>
      <sz val="10"/>
      <color rgb="FF0070C0"/>
      <name val="Wingdings"/>
      <charset val="2"/>
    </font>
    <font>
      <b/>
      <sz val="10"/>
      <color theme="1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E39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vertical="top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top" inden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 applyAlignment="1" applyProtection="1">
      <alignment horizontal="left" vertical="top"/>
      <protection locked="0"/>
    </xf>
    <xf numFmtId="0" fontId="1" fillId="0" borderId="0" xfId="0" applyFont="1" applyProtection="1">
      <protection locked="0"/>
    </xf>
    <xf numFmtId="0" fontId="1" fillId="0" borderId="0" xfId="0" applyFont="1"/>
    <xf numFmtId="49" fontId="9" fillId="0" borderId="0" xfId="0" quotePrefix="1" applyNumberFormat="1" applyFont="1"/>
    <xf numFmtId="0" fontId="10" fillId="0" borderId="0" xfId="0" quotePrefix="1" applyFont="1" applyAlignment="1" applyProtection="1">
      <alignment horizontal="left" vertical="top"/>
      <protection locked="0"/>
    </xf>
    <xf numFmtId="0" fontId="10" fillId="0" borderId="0" xfId="0" quotePrefix="1" applyFont="1" applyAlignment="1" applyProtection="1">
      <alignment horizontal="left" vertical="top" wrapText="1"/>
      <protection locked="0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742950</xdr:colOff>
      <xdr:row>0</xdr:row>
      <xdr:rowOff>133350</xdr:rowOff>
    </xdr:from>
    <xdr:to>
      <xdr:col>1</xdr:col>
      <xdr:colOff>740983</xdr:colOff>
      <xdr:row>4</xdr:row>
      <xdr:rowOff>104613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8DBC57-9C98-4A53-97DB-6138971BD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33350"/>
          <a:ext cx="1664908" cy="733263"/>
        </a:xfrm>
        <a:prstGeom prst="rect">
          <a:avLst/>
        </a:prstGeom>
      </xdr:spPr>
    </xdr:pic>
    <xdr:clientData/>
  </xdr:twoCellAnchor>
  <xdr:twoCellAnchor editAs="oneCell">
    <xdr:from>
      <xdr:col>0</xdr:col>
      <xdr:colOff>742950</xdr:colOff>
      <xdr:row>0</xdr:row>
      <xdr:rowOff>133350</xdr:rowOff>
    </xdr:from>
    <xdr:to>
      <xdr:col>1</xdr:col>
      <xdr:colOff>740983</xdr:colOff>
      <xdr:row>4</xdr:row>
      <xdr:rowOff>104613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FC55E04-D353-470C-AFF9-78ACB573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33350"/>
          <a:ext cx="1664908" cy="733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459A-49C2-4174-A123-8FAF4C62BE94}">
  <dimension ref="A1:N39"/>
  <sheetViews>
    <sheetView tabSelected="1" topLeftCell="A13" workbookViewId="0">
      <selection activeCell="J27" sqref="J27"/>
    </sheetView>
  </sheetViews>
  <sheetFormatPr defaultRowHeight="15" x14ac:dyDescent="0.25"/>
  <cols>
    <col min="1" max="1" width="25" customWidth="1"/>
    <col min="2" max="2" width="17.85546875" customWidth="1"/>
    <col min="3" max="3" width="19.7109375" bestFit="1" customWidth="1"/>
    <col min="4" max="4" width="13.140625" customWidth="1"/>
    <col min="5" max="5" width="40.7109375" bestFit="1" customWidth="1"/>
    <col min="6" max="6" width="25.140625" customWidth="1"/>
    <col min="7" max="8" width="3.85546875" bestFit="1" customWidth="1"/>
    <col min="9" max="9" width="12.7109375" bestFit="1" customWidth="1"/>
    <col min="10" max="10" width="12.28515625" bestFit="1" customWidth="1"/>
    <col min="11" max="11" width="15.28515625" bestFit="1" customWidth="1"/>
    <col min="12" max="12" width="20.42578125" bestFit="1" customWidth="1"/>
    <col min="13" max="13" width="25.85546875" bestFit="1" customWidth="1"/>
    <col min="14" max="14" width="13.140625" bestFit="1" customWidth="1"/>
  </cols>
  <sheetData>
    <row r="1" spans="1:14" x14ac:dyDescent="0.25">
      <c r="A1" s="1"/>
      <c r="B1" s="1"/>
      <c r="C1" s="1"/>
      <c r="D1" s="1"/>
      <c r="E1" s="2"/>
      <c r="F1" s="3"/>
      <c r="G1" s="1"/>
      <c r="H1" s="1"/>
      <c r="I1" s="3"/>
      <c r="J1" s="1"/>
      <c r="K1" s="1"/>
      <c r="L1" s="1"/>
      <c r="M1" s="1"/>
      <c r="N1" s="4"/>
    </row>
    <row r="2" spans="1:14" x14ac:dyDescent="0.25">
      <c r="A2" s="1"/>
      <c r="B2" s="1"/>
      <c r="C2" s="1"/>
      <c r="D2" s="1"/>
      <c r="E2" s="2"/>
      <c r="F2" s="3"/>
      <c r="G2" s="1"/>
      <c r="H2" s="1"/>
      <c r="I2" s="3"/>
      <c r="J2" s="1"/>
      <c r="K2" s="1"/>
      <c r="L2" s="1"/>
      <c r="M2" s="1"/>
      <c r="N2" s="4"/>
    </row>
    <row r="3" spans="1:14" x14ac:dyDescent="0.25">
      <c r="A3" s="1"/>
      <c r="B3" s="1"/>
      <c r="C3" s="1"/>
      <c r="D3" s="1"/>
      <c r="E3" s="2"/>
      <c r="F3" s="3"/>
      <c r="G3" s="1"/>
      <c r="H3" s="1"/>
      <c r="I3" s="3"/>
      <c r="J3" s="1"/>
      <c r="K3" s="1"/>
      <c r="L3" s="1"/>
      <c r="M3" s="1"/>
      <c r="N3" s="4"/>
    </row>
    <row r="4" spans="1:14" x14ac:dyDescent="0.25">
      <c r="A4" s="1"/>
      <c r="B4" s="1"/>
      <c r="C4" s="1"/>
      <c r="D4" s="1"/>
      <c r="E4" s="2"/>
      <c r="F4" s="3"/>
      <c r="G4" s="1"/>
      <c r="H4" s="1"/>
      <c r="I4" s="3"/>
      <c r="J4" s="1"/>
      <c r="K4" s="1"/>
      <c r="L4" s="1"/>
      <c r="M4" s="1"/>
      <c r="N4" s="4"/>
    </row>
    <row r="5" spans="1:14" x14ac:dyDescent="0.25">
      <c r="A5" s="1"/>
      <c r="B5" s="1"/>
      <c r="C5" s="1"/>
      <c r="D5" s="1"/>
      <c r="E5" s="2"/>
      <c r="F5" s="3"/>
      <c r="G5" s="1"/>
      <c r="H5" s="1"/>
      <c r="I5" s="3"/>
      <c r="J5" s="1"/>
      <c r="K5" s="1"/>
      <c r="L5" s="1"/>
      <c r="M5" s="1"/>
      <c r="N5" s="4"/>
    </row>
    <row r="6" spans="1:14" x14ac:dyDescent="0.25">
      <c r="A6" s="1"/>
      <c r="B6" s="1"/>
      <c r="C6" s="1"/>
      <c r="D6" s="1"/>
      <c r="E6" s="2"/>
      <c r="F6" s="3"/>
      <c r="G6" s="1"/>
      <c r="H6" s="1"/>
      <c r="I6" s="3"/>
      <c r="J6" s="1"/>
      <c r="K6" s="1"/>
      <c r="L6" s="1"/>
      <c r="M6" s="1"/>
      <c r="N6" s="4"/>
    </row>
    <row r="7" spans="1:14" ht="18.75" x14ac:dyDescent="0.25">
      <c r="A7" s="5" t="s">
        <v>0</v>
      </c>
      <c r="B7" s="5"/>
      <c r="C7" s="5"/>
      <c r="D7" s="5"/>
      <c r="E7" s="5"/>
      <c r="F7" s="6"/>
      <c r="G7" s="5"/>
      <c r="H7" s="5"/>
      <c r="I7" s="6"/>
      <c r="J7" s="5"/>
      <c r="K7" s="5"/>
      <c r="L7" s="5"/>
      <c r="M7" s="5"/>
      <c r="N7" s="7"/>
    </row>
    <row r="8" spans="1:14" x14ac:dyDescent="0.25">
      <c r="A8" s="8" t="s">
        <v>1</v>
      </c>
      <c r="B8" s="2"/>
      <c r="C8" s="8"/>
      <c r="D8" s="8"/>
      <c r="E8" s="2"/>
      <c r="F8" s="9"/>
      <c r="G8" s="2"/>
      <c r="H8" s="2"/>
      <c r="I8" s="9"/>
      <c r="J8" s="2"/>
      <c r="K8" s="2"/>
      <c r="L8" s="2"/>
      <c r="M8" s="2"/>
      <c r="N8" s="10"/>
    </row>
    <row r="9" spans="1:14" x14ac:dyDescent="0.25">
      <c r="A9" s="8" t="s">
        <v>2</v>
      </c>
      <c r="B9" s="2"/>
      <c r="C9" s="8"/>
      <c r="D9" s="8"/>
      <c r="E9" s="2"/>
      <c r="F9" s="9"/>
      <c r="G9" s="2"/>
      <c r="H9" s="2"/>
      <c r="I9" s="9"/>
      <c r="J9" s="2"/>
      <c r="K9" s="2"/>
      <c r="L9" s="2"/>
      <c r="M9" s="2"/>
      <c r="N9" s="10"/>
    </row>
    <row r="10" spans="1:14" x14ac:dyDescent="0.25">
      <c r="A10" s="8" t="s">
        <v>3</v>
      </c>
      <c r="B10" s="2"/>
      <c r="C10" s="8"/>
      <c r="D10" s="8"/>
      <c r="E10" s="2"/>
      <c r="F10" s="9"/>
      <c r="G10" s="2"/>
      <c r="H10" s="2"/>
      <c r="I10" s="9"/>
      <c r="J10" s="2"/>
      <c r="K10" s="2"/>
      <c r="L10" s="2"/>
      <c r="M10" s="2"/>
      <c r="N10" s="10"/>
    </row>
    <row r="11" spans="1:14" x14ac:dyDescent="0.25">
      <c r="A11" s="8" t="s">
        <v>4</v>
      </c>
      <c r="B11" s="2"/>
      <c r="C11" s="8"/>
      <c r="D11" s="8"/>
      <c r="E11" s="2"/>
      <c r="F11" s="9"/>
      <c r="G11" s="2"/>
      <c r="H11" s="2"/>
      <c r="I11" s="9"/>
      <c r="J11" s="2"/>
      <c r="K11" s="2"/>
      <c r="L11" s="2"/>
      <c r="M11" s="2"/>
      <c r="N11" s="10"/>
    </row>
    <row r="12" spans="1:14" x14ac:dyDescent="0.25">
      <c r="A12" s="8" t="s">
        <v>5</v>
      </c>
      <c r="B12" s="2"/>
      <c r="C12" s="8"/>
      <c r="D12" s="8"/>
      <c r="E12" s="2"/>
      <c r="F12" s="9"/>
      <c r="G12" s="2"/>
      <c r="H12" s="2"/>
      <c r="I12" s="9"/>
      <c r="J12" s="2"/>
      <c r="K12" s="2"/>
      <c r="L12" s="2"/>
      <c r="M12" s="2"/>
      <c r="N12" s="10"/>
    </row>
    <row r="13" spans="1:14" x14ac:dyDescent="0.25">
      <c r="A13" s="8" t="s">
        <v>6</v>
      </c>
      <c r="B13" s="2"/>
      <c r="C13" s="8"/>
      <c r="D13" s="8"/>
      <c r="E13" s="2"/>
      <c r="F13" s="9"/>
      <c r="G13" s="2"/>
      <c r="H13" s="2"/>
      <c r="I13" s="9"/>
      <c r="J13" s="2"/>
      <c r="K13" s="2"/>
      <c r="L13" s="2"/>
      <c r="M13" s="2"/>
      <c r="N13" s="10"/>
    </row>
    <row r="14" spans="1:14" x14ac:dyDescent="0.25">
      <c r="A14" s="8" t="s">
        <v>7</v>
      </c>
      <c r="B14" s="2"/>
      <c r="C14" s="8"/>
      <c r="D14" s="8"/>
      <c r="E14" s="2"/>
      <c r="F14" s="9"/>
      <c r="G14" s="2"/>
      <c r="H14" s="2"/>
      <c r="I14" s="9"/>
      <c r="J14" s="2"/>
      <c r="K14" s="2"/>
      <c r="L14" s="2"/>
      <c r="M14" s="2"/>
      <c r="N14" s="10"/>
    </row>
    <row r="15" spans="1:14" x14ac:dyDescent="0.25">
      <c r="A15" s="11" t="s">
        <v>8</v>
      </c>
      <c r="B15" s="2"/>
      <c r="C15" s="11"/>
      <c r="D15" s="11"/>
      <c r="E15" s="2"/>
      <c r="F15" s="9"/>
      <c r="G15" s="2"/>
      <c r="H15" s="2"/>
      <c r="I15" s="9"/>
      <c r="J15" s="2"/>
      <c r="K15" s="2"/>
      <c r="L15" s="2"/>
      <c r="M15" s="2"/>
      <c r="N15" s="10"/>
    </row>
    <row r="16" spans="1:14" x14ac:dyDescent="0.25">
      <c r="A16" s="11"/>
      <c r="B16" s="11"/>
      <c r="C16" s="11"/>
      <c r="D16" s="11"/>
      <c r="E16" s="2"/>
      <c r="F16" s="9"/>
      <c r="G16" s="2"/>
      <c r="H16" s="2"/>
      <c r="I16" s="9"/>
      <c r="J16" s="2"/>
      <c r="K16" s="2"/>
      <c r="L16" s="2"/>
      <c r="M16" s="2"/>
      <c r="N16" s="10"/>
    </row>
    <row r="17" spans="1:14" x14ac:dyDescent="0.25">
      <c r="A17" s="2"/>
      <c r="B17" s="2"/>
      <c r="C17" s="2"/>
      <c r="D17" s="2"/>
      <c r="E17" s="12" t="s">
        <v>9</v>
      </c>
      <c r="F17" s="9"/>
      <c r="G17" s="2"/>
      <c r="H17" s="2"/>
      <c r="I17" s="9"/>
      <c r="J17" s="2"/>
      <c r="K17" s="2"/>
      <c r="L17" s="2"/>
      <c r="M17" s="2"/>
      <c r="N17" s="10"/>
    </row>
    <row r="18" spans="1:14" x14ac:dyDescent="0.25">
      <c r="A18" s="13" t="s">
        <v>10</v>
      </c>
      <c r="B18" s="13" t="s">
        <v>11</v>
      </c>
      <c r="C18" s="13" t="s">
        <v>12</v>
      </c>
      <c r="D18" s="13" t="s">
        <v>13</v>
      </c>
      <c r="E18" s="13" t="s">
        <v>14</v>
      </c>
      <c r="F18" s="14" t="s">
        <v>15</v>
      </c>
      <c r="G18" s="13" t="s">
        <v>16</v>
      </c>
      <c r="H18" s="13" t="s">
        <v>17</v>
      </c>
      <c r="I18" s="14" t="s">
        <v>18</v>
      </c>
      <c r="J18" s="13" t="s">
        <v>19</v>
      </c>
      <c r="K18" s="13" t="s">
        <v>20</v>
      </c>
      <c r="L18" s="13" t="s">
        <v>21</v>
      </c>
      <c r="M18" s="13" t="s">
        <v>22</v>
      </c>
      <c r="N18" s="13" t="s">
        <v>23</v>
      </c>
    </row>
    <row r="19" spans="1:14" x14ac:dyDescent="0.25">
      <c r="A19" s="15" t="s">
        <v>116</v>
      </c>
      <c r="B19" s="16" t="s">
        <v>24</v>
      </c>
      <c r="C19" s="17" t="s">
        <v>25</v>
      </c>
      <c r="D19" s="1" t="s">
        <v>26</v>
      </c>
      <c r="E19" s="2"/>
      <c r="F19" s="18" t="s">
        <v>27</v>
      </c>
      <c r="G19" s="18">
        <v>5</v>
      </c>
      <c r="H19" s="1"/>
      <c r="I19" s="3"/>
      <c r="J19" s="1" t="s">
        <v>28</v>
      </c>
      <c r="K19" s="1" t="s">
        <v>29</v>
      </c>
      <c r="L19" s="1"/>
      <c r="M19" s="1"/>
      <c r="N19" s="1"/>
    </row>
    <row r="20" spans="1:14" x14ac:dyDescent="0.25">
      <c r="A20" s="19" t="s">
        <v>30</v>
      </c>
      <c r="B20" s="16" t="s">
        <v>24</v>
      </c>
      <c r="C20" s="17" t="s">
        <v>31</v>
      </c>
      <c r="D20" s="1" t="s">
        <v>26</v>
      </c>
      <c r="E20" s="2" t="str">
        <f t="shared" ref="E20:E39" si="0">B20&amp;" "&amp;C20&amp;" "&amp;D20</f>
        <v>CAP CER 1 uF 10V X5R 20% 0603 SMD</v>
      </c>
      <c r="F20" s="18" t="s">
        <v>32</v>
      </c>
      <c r="G20" s="18">
        <v>7</v>
      </c>
      <c r="H20" s="1"/>
      <c r="I20" s="3"/>
      <c r="J20" s="20" t="s">
        <v>33</v>
      </c>
      <c r="K20" s="1" t="s">
        <v>29</v>
      </c>
      <c r="L20" s="20"/>
      <c r="M20" s="1"/>
      <c r="N20" s="1"/>
    </row>
    <row r="21" spans="1:14" x14ac:dyDescent="0.25">
      <c r="A21" s="15" t="s">
        <v>34</v>
      </c>
      <c r="B21" s="16" t="s">
        <v>24</v>
      </c>
      <c r="C21" s="17" t="s">
        <v>35</v>
      </c>
      <c r="D21" s="1" t="s">
        <v>26</v>
      </c>
      <c r="E21" s="2" t="str">
        <f t="shared" si="0"/>
        <v>CAP CER 4.7 uF 10V X5R 20% 0603 SMD</v>
      </c>
      <c r="F21" s="18" t="s">
        <v>36</v>
      </c>
      <c r="G21" s="18">
        <v>1</v>
      </c>
      <c r="H21" s="1"/>
      <c r="I21" s="3" t="s">
        <v>37</v>
      </c>
      <c r="J21" s="1" t="s">
        <v>28</v>
      </c>
      <c r="K21" s="1" t="s">
        <v>29</v>
      </c>
      <c r="L21" s="1"/>
      <c r="M21" s="1"/>
      <c r="N21" s="1"/>
    </row>
    <row r="22" spans="1:14" x14ac:dyDescent="0.25">
      <c r="A22" s="15" t="s">
        <v>38</v>
      </c>
      <c r="B22" s="1" t="s">
        <v>39</v>
      </c>
      <c r="C22" s="1" t="s">
        <v>40</v>
      </c>
      <c r="D22" s="1" t="s">
        <v>26</v>
      </c>
      <c r="E22" s="2" t="str">
        <f t="shared" si="0"/>
        <v>SCHOTTKY DIODE 30mA 40V 0603 SMD</v>
      </c>
      <c r="F22" s="18" t="s">
        <v>41</v>
      </c>
      <c r="G22" s="18">
        <v>2</v>
      </c>
      <c r="H22" s="1"/>
      <c r="I22" s="3"/>
      <c r="J22" s="1" t="s">
        <v>42</v>
      </c>
      <c r="K22" s="1" t="s">
        <v>29</v>
      </c>
      <c r="L22" s="1"/>
      <c r="M22" s="1"/>
      <c r="N22" s="1"/>
    </row>
    <row r="23" spans="1:14" x14ac:dyDescent="0.25">
      <c r="A23" s="15" t="s">
        <v>43</v>
      </c>
      <c r="B23" s="1" t="s">
        <v>44</v>
      </c>
      <c r="C23" s="1"/>
      <c r="D23" s="1"/>
      <c r="E23" s="2" t="str">
        <f t="shared" si="0"/>
        <v xml:space="preserve">USB CONNECTOR  </v>
      </c>
      <c r="F23" s="18" t="s">
        <v>45</v>
      </c>
      <c r="G23" s="18">
        <v>1</v>
      </c>
      <c r="H23" s="1"/>
      <c r="I23" s="3"/>
      <c r="J23" s="1" t="s">
        <v>46</v>
      </c>
      <c r="K23" s="1" t="s">
        <v>29</v>
      </c>
      <c r="L23" s="1"/>
      <c r="M23" s="1"/>
      <c r="N23" s="1"/>
    </row>
    <row r="24" spans="1:14" x14ac:dyDescent="0.25">
      <c r="A24" s="15" t="s">
        <v>47</v>
      </c>
      <c r="B24" s="4" t="s">
        <v>48</v>
      </c>
      <c r="C24" s="4" t="s">
        <v>49</v>
      </c>
      <c r="D24" s="4"/>
      <c r="E24" s="2" t="str">
        <f>B24&amp;" "&amp;C24&amp;" "&amp;D24</f>
        <v xml:space="preserve">PIN HEADER 2x5 1.27 MM PITCH </v>
      </c>
      <c r="F24" s="18" t="s">
        <v>50</v>
      </c>
      <c r="G24" s="18">
        <v>1</v>
      </c>
      <c r="H24" s="16"/>
      <c r="I24" s="21"/>
      <c r="J24" s="4" t="s">
        <v>117</v>
      </c>
      <c r="K24" s="16" t="s">
        <v>51</v>
      </c>
      <c r="L24" s="4"/>
      <c r="M24" s="20"/>
      <c r="N24" s="16"/>
    </row>
    <row r="25" spans="1:14" x14ac:dyDescent="0.25">
      <c r="A25" s="15" t="s">
        <v>52</v>
      </c>
      <c r="B25" s="16" t="s">
        <v>53</v>
      </c>
      <c r="C25" s="16" t="s">
        <v>54</v>
      </c>
      <c r="D25" s="1" t="s">
        <v>26</v>
      </c>
      <c r="E25" s="2" t="str">
        <f>B25&amp;" "&amp;C25&amp;" "&amp;D25</f>
        <v>RES 0.1 OHM CURR SENSE 0603 SMD</v>
      </c>
      <c r="F25" s="18" t="s">
        <v>55</v>
      </c>
      <c r="G25" s="18">
        <v>1</v>
      </c>
      <c r="H25" s="20"/>
      <c r="I25" s="21"/>
      <c r="J25" s="20" t="s">
        <v>118</v>
      </c>
      <c r="K25" s="1" t="s">
        <v>29</v>
      </c>
      <c r="L25" s="20"/>
      <c r="M25" s="20"/>
      <c r="N25" s="16"/>
    </row>
    <row r="26" spans="1:14" x14ac:dyDescent="0.25">
      <c r="A26" s="15" t="s">
        <v>115</v>
      </c>
      <c r="B26" s="16" t="s">
        <v>53</v>
      </c>
      <c r="C26" s="1" t="s">
        <v>56</v>
      </c>
      <c r="D26" s="1" t="s">
        <v>26</v>
      </c>
      <c r="E26" s="2" t="str">
        <f t="shared" si="0"/>
        <v>RES 22 OHM 1% 0603 SMD</v>
      </c>
      <c r="F26" s="18" t="s">
        <v>57</v>
      </c>
      <c r="G26" s="18">
        <v>2</v>
      </c>
      <c r="H26" s="1"/>
      <c r="I26" s="3"/>
      <c r="J26" s="1" t="s">
        <v>119</v>
      </c>
      <c r="K26" s="1" t="s">
        <v>29</v>
      </c>
      <c r="L26" s="1"/>
      <c r="M26" s="1"/>
      <c r="N26" s="1"/>
    </row>
    <row r="27" spans="1:14" x14ac:dyDescent="0.25">
      <c r="A27" s="15" t="s">
        <v>58</v>
      </c>
      <c r="B27" s="16" t="s">
        <v>53</v>
      </c>
      <c r="C27" s="1" t="s">
        <v>59</v>
      </c>
      <c r="D27" s="1" t="s">
        <v>26</v>
      </c>
      <c r="E27" s="2" t="str">
        <f t="shared" si="0"/>
        <v>RES 100 OHM 1% 0603 SMD</v>
      </c>
      <c r="F27" s="18" t="s">
        <v>60</v>
      </c>
      <c r="G27" s="18">
        <v>1</v>
      </c>
      <c r="H27" s="1"/>
      <c r="I27" s="3"/>
      <c r="J27" s="1" t="s">
        <v>112</v>
      </c>
      <c r="K27" s="1" t="s">
        <v>29</v>
      </c>
      <c r="L27" s="1"/>
      <c r="M27" s="1"/>
      <c r="N27" s="1"/>
    </row>
    <row r="28" spans="1:14" x14ac:dyDescent="0.25">
      <c r="A28" s="15" t="s">
        <v>61</v>
      </c>
      <c r="B28" s="16" t="s">
        <v>53</v>
      </c>
      <c r="C28" s="1" t="s">
        <v>114</v>
      </c>
      <c r="D28" s="1" t="s">
        <v>26</v>
      </c>
      <c r="E28" s="2" t="str">
        <f t="shared" si="0"/>
        <v>RES 5.11K OHM 1% 0603 SMD</v>
      </c>
      <c r="F28" s="18" t="s">
        <v>62</v>
      </c>
      <c r="G28" s="18">
        <v>2</v>
      </c>
      <c r="H28" s="1"/>
      <c r="I28" s="3"/>
      <c r="J28" s="1" t="s">
        <v>112</v>
      </c>
      <c r="K28" s="1" t="s">
        <v>29</v>
      </c>
      <c r="L28" s="1"/>
      <c r="M28" s="1"/>
      <c r="N28" s="1"/>
    </row>
    <row r="29" spans="1:14" x14ac:dyDescent="0.25">
      <c r="A29" s="22" t="s">
        <v>63</v>
      </c>
      <c r="B29" s="16" t="s">
        <v>53</v>
      </c>
      <c r="C29" s="1" t="s">
        <v>64</v>
      </c>
      <c r="D29" s="1" t="s">
        <v>26</v>
      </c>
      <c r="E29" s="2" t="str">
        <f t="shared" si="0"/>
        <v>RES 10K OHM 1% 0603 SMD</v>
      </c>
      <c r="F29" s="18" t="s">
        <v>65</v>
      </c>
      <c r="G29" s="18">
        <v>3</v>
      </c>
      <c r="H29" s="1"/>
      <c r="I29" s="3"/>
      <c r="J29" s="1" t="s">
        <v>112</v>
      </c>
      <c r="K29" s="1" t="s">
        <v>29</v>
      </c>
      <c r="L29" s="1"/>
      <c r="M29" s="1"/>
      <c r="N29" s="1"/>
    </row>
    <row r="30" spans="1:14" x14ac:dyDescent="0.25">
      <c r="A30" s="15" t="s">
        <v>66</v>
      </c>
      <c r="B30" s="16" t="s">
        <v>53</v>
      </c>
      <c r="C30" s="1" t="s">
        <v>67</v>
      </c>
      <c r="D30" s="1" t="s">
        <v>26</v>
      </c>
      <c r="E30" s="2" t="str">
        <f t="shared" si="0"/>
        <v>RES 49.9K OHM 1% 0603 SMD</v>
      </c>
      <c r="F30" s="18" t="s">
        <v>68</v>
      </c>
      <c r="G30" s="18">
        <v>1</v>
      </c>
      <c r="H30" s="1"/>
      <c r="I30" s="3"/>
      <c r="J30" s="1" t="s">
        <v>112</v>
      </c>
      <c r="K30" s="1" t="s">
        <v>29</v>
      </c>
      <c r="L30" s="1"/>
      <c r="M30" s="1"/>
      <c r="N30" s="1"/>
    </row>
    <row r="31" spans="1:14" x14ac:dyDescent="0.25">
      <c r="A31" s="15" t="s">
        <v>69</v>
      </c>
      <c r="B31" s="16" t="s">
        <v>53</v>
      </c>
      <c r="C31" s="1" t="s">
        <v>70</v>
      </c>
      <c r="D31" s="1" t="s">
        <v>26</v>
      </c>
      <c r="E31" s="2" t="str">
        <f t="shared" si="0"/>
        <v>RES 100K OHM 1% 0603 SMD</v>
      </c>
      <c r="F31" s="18" t="s">
        <v>71</v>
      </c>
      <c r="G31" s="18">
        <v>4</v>
      </c>
      <c r="H31" s="1"/>
      <c r="I31" s="3"/>
      <c r="J31" s="1" t="s">
        <v>112</v>
      </c>
      <c r="K31" s="1" t="s">
        <v>29</v>
      </c>
      <c r="L31" s="1"/>
      <c r="M31" s="1"/>
      <c r="N31" s="1"/>
    </row>
    <row r="32" spans="1:14" x14ac:dyDescent="0.25">
      <c r="A32" s="15" t="s">
        <v>72</v>
      </c>
      <c r="B32" s="1" t="s">
        <v>73</v>
      </c>
      <c r="C32" s="1" t="s">
        <v>74</v>
      </c>
      <c r="D32" s="1" t="s">
        <v>75</v>
      </c>
      <c r="E32" s="2" t="str">
        <f t="shared" si="0"/>
        <v>SWITCH TACTILE SMD</v>
      </c>
      <c r="F32" s="18" t="s">
        <v>76</v>
      </c>
      <c r="G32" s="18">
        <v>1</v>
      </c>
      <c r="H32" s="1"/>
      <c r="I32" s="3"/>
      <c r="J32" s="1" t="s">
        <v>77</v>
      </c>
      <c r="K32" s="1" t="s">
        <v>29</v>
      </c>
      <c r="L32" s="1"/>
      <c r="M32" s="1"/>
      <c r="N32" s="1"/>
    </row>
    <row r="33" spans="1:14" x14ac:dyDescent="0.25">
      <c r="A33" s="1" t="s">
        <v>78</v>
      </c>
      <c r="B33" s="1" t="s">
        <v>79</v>
      </c>
      <c r="C33" s="1" t="s">
        <v>80</v>
      </c>
      <c r="D33" s="1" t="s">
        <v>81</v>
      </c>
      <c r="E33" s="2" t="str">
        <f t="shared" si="0"/>
        <v>LATTICE FPGA ICE40 ULTRA PLUS QFN-48</v>
      </c>
      <c r="F33" s="18" t="s">
        <v>82</v>
      </c>
      <c r="G33" s="18">
        <v>1</v>
      </c>
      <c r="H33" s="1"/>
      <c r="I33" s="3"/>
      <c r="J33" s="1" t="s">
        <v>83</v>
      </c>
      <c r="K33" s="1" t="s">
        <v>29</v>
      </c>
      <c r="L33" s="1"/>
      <c r="M33" s="1"/>
      <c r="N33" s="1"/>
    </row>
    <row r="34" spans="1:14" x14ac:dyDescent="0.25">
      <c r="A34" s="1" t="s">
        <v>113</v>
      </c>
      <c r="B34" s="1" t="s">
        <v>84</v>
      </c>
      <c r="C34" s="1" t="s">
        <v>85</v>
      </c>
      <c r="D34" s="1" t="s">
        <v>86</v>
      </c>
      <c r="E34" s="2" t="str">
        <f t="shared" si="0"/>
        <v>SPI FLASH 16 MB SOIC-8</v>
      </c>
      <c r="F34" s="18" t="s">
        <v>87</v>
      </c>
      <c r="G34" s="18">
        <v>1</v>
      </c>
      <c r="H34" s="1"/>
      <c r="I34" s="3"/>
      <c r="J34" s="1" t="s">
        <v>88</v>
      </c>
      <c r="K34" s="1" t="s">
        <v>29</v>
      </c>
      <c r="L34" s="1"/>
      <c r="M34" s="1"/>
      <c r="N34" s="1"/>
    </row>
    <row r="35" spans="1:14" x14ac:dyDescent="0.25">
      <c r="A35" s="15" t="s">
        <v>89</v>
      </c>
      <c r="B35" s="1" t="s">
        <v>90</v>
      </c>
      <c r="C35" s="1" t="s">
        <v>91</v>
      </c>
      <c r="D35" s="1" t="s">
        <v>92</v>
      </c>
      <c r="E35" s="2" t="str">
        <f t="shared" si="0"/>
        <v>LEVEL SHIFTER QUAD L-H TSSOP-16</v>
      </c>
      <c r="F35" s="18" t="s">
        <v>93</v>
      </c>
      <c r="G35" s="18">
        <v>3</v>
      </c>
      <c r="H35" s="1"/>
      <c r="I35" s="3"/>
      <c r="J35" s="1" t="s">
        <v>94</v>
      </c>
      <c r="K35" s="1" t="s">
        <v>29</v>
      </c>
      <c r="L35" s="1"/>
      <c r="M35" s="1"/>
      <c r="N35" s="1"/>
    </row>
    <row r="36" spans="1:14" x14ac:dyDescent="0.25">
      <c r="A36" s="15" t="s">
        <v>95</v>
      </c>
      <c r="B36" s="1" t="s">
        <v>96</v>
      </c>
      <c r="C36" s="1" t="s">
        <v>97</v>
      </c>
      <c r="D36" s="1" t="s">
        <v>98</v>
      </c>
      <c r="E36" s="2" t="str">
        <f t="shared" si="0"/>
        <v>LDO REGULATOR 1.2V 300mA SOT-23-5 SMD</v>
      </c>
      <c r="F36" s="18" t="s">
        <v>99</v>
      </c>
      <c r="G36" s="18">
        <v>1</v>
      </c>
      <c r="H36" s="1"/>
      <c r="I36" s="3"/>
      <c r="J36" s="1" t="s">
        <v>100</v>
      </c>
      <c r="K36" s="1" t="s">
        <v>29</v>
      </c>
      <c r="L36" s="1"/>
      <c r="M36" s="1"/>
      <c r="N36" s="1"/>
    </row>
    <row r="37" spans="1:14" x14ac:dyDescent="0.25">
      <c r="A37" s="15" t="s">
        <v>101</v>
      </c>
      <c r="B37" s="1" t="s">
        <v>96</v>
      </c>
      <c r="C37" s="1" t="s">
        <v>102</v>
      </c>
      <c r="D37" s="1" t="s">
        <v>98</v>
      </c>
      <c r="E37" s="2" t="str">
        <f t="shared" si="0"/>
        <v>LDO REGULATOR 3.3V 300mA SOT-23-5 SMD</v>
      </c>
      <c r="F37" s="18" t="s">
        <v>103</v>
      </c>
      <c r="G37" s="18">
        <v>1</v>
      </c>
      <c r="H37" s="1"/>
      <c r="I37" s="3"/>
      <c r="J37" s="1" t="s">
        <v>100</v>
      </c>
      <c r="K37" s="1" t="s">
        <v>29</v>
      </c>
      <c r="L37" s="1"/>
      <c r="M37" s="1"/>
      <c r="N37" s="1"/>
    </row>
    <row r="38" spans="1:14" x14ac:dyDescent="0.25">
      <c r="A38" s="15" t="s">
        <v>104</v>
      </c>
      <c r="B38" s="1" t="s">
        <v>96</v>
      </c>
      <c r="C38" s="1" t="s">
        <v>105</v>
      </c>
      <c r="D38" s="1" t="s">
        <v>98</v>
      </c>
      <c r="E38" s="2" t="str">
        <f t="shared" si="0"/>
        <v>LDO REGULATOR 2.5V 300mA SOT-23-5 SMD</v>
      </c>
      <c r="F38" s="18" t="s">
        <v>106</v>
      </c>
      <c r="G38" s="18">
        <v>1</v>
      </c>
      <c r="H38" s="1"/>
      <c r="I38" s="3"/>
      <c r="J38" s="1" t="s">
        <v>100</v>
      </c>
      <c r="K38" s="1" t="s">
        <v>29</v>
      </c>
      <c r="L38" s="1"/>
      <c r="M38" s="1"/>
      <c r="N38" s="1"/>
    </row>
    <row r="39" spans="1:14" x14ac:dyDescent="0.25">
      <c r="A39" s="15" t="s">
        <v>107</v>
      </c>
      <c r="B39" s="1" t="s">
        <v>108</v>
      </c>
      <c r="C39" s="1" t="s">
        <v>109</v>
      </c>
      <c r="D39" s="1" t="s">
        <v>75</v>
      </c>
      <c r="E39" s="2" t="str">
        <f t="shared" si="0"/>
        <v>CLOCK OSC 48 MHZ  SMD</v>
      </c>
      <c r="F39" s="18" t="s">
        <v>110</v>
      </c>
      <c r="G39" s="18">
        <v>1</v>
      </c>
      <c r="H39" s="1"/>
      <c r="I39" s="3"/>
      <c r="J39" s="1" t="s">
        <v>111</v>
      </c>
      <c r="K39" s="1" t="s">
        <v>29</v>
      </c>
      <c r="L39" s="1"/>
      <c r="M39" s="1"/>
      <c r="N3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Fleming</dc:creator>
  <cp:lastModifiedBy>Mark Fleming</cp:lastModifiedBy>
  <dcterms:created xsi:type="dcterms:W3CDTF">2023-11-28T18:37:00Z</dcterms:created>
  <dcterms:modified xsi:type="dcterms:W3CDTF">2023-12-06T17:40:19Z</dcterms:modified>
</cp:coreProperties>
</file>